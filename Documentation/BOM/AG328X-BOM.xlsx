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G328X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<sst xmlns="http://schemas.openxmlformats.org/spreadsheetml/2006/main" uniqueCount="150">
  <si>
    <t>AG328X</t>
  </si>
  <si>
    <t>Id</t>
  </si>
  <si>
    <t>Designator</t>
  </si>
  <si>
    <t>Footprint</t>
  </si>
  <si>
    <t>Designation</t>
  </si>
  <si>
    <t>Quantity</t>
  </si>
  <si>
    <t>Cost</t>
  </si>
  <si>
    <t>Total</t>
  </si>
  <si>
    <t>Source Link</t>
  </si>
  <si>
    <t>C1, C2, C3, C7, C8, C13, C16</t>
  </si>
  <si>
    <t>C_0402_1005Metric</t>
  </si>
  <si>
    <t>100nF</t>
  </si>
  <si>
    <r>
      <rPr>
        <u val="single"/>
        <sz val="10"/>
        <color indexed="12"/>
        <rFont val="Helvetica Neue"/>
      </rPr>
      <t>https://robu.in/product/gcm155r71h104ke02j-murata-electronics-50v-100nf-x7r-%C2%B110-0402-multilayer-ceramic-capacitors-mlcc-smd-smt-rohs/?gad_source=1&amp;gad_campaignid=17427802703&amp;gbraid=0AAAAADvLFWfsDE1Tsv3lc8Ygj76usrxpb&amp;gclid=Cj0KCQjw7eXTBhDBARIsAKF-w4605fArVuCMtcXnAE0XygpFFm7nM9QEV3kyJcbQJLQnuKb2NC0mmdYaAia8EALw_wcB</t>
    </r>
  </si>
  <si>
    <t>C4, C5</t>
  </si>
  <si>
    <t>22pF</t>
  </si>
  <si>
    <r>
      <rPr>
        <u val="single"/>
        <sz val="10"/>
        <color indexed="12"/>
        <rFont val="Helvetica Neue"/>
      </rPr>
      <t>https://robu.in/product/grm1555c1h220ga01d-murata-cap-ceramic-22pf-50v-c0g-2-pad-smd-0402-125c-t-r/?gad_source=1&amp;gad_campaignid=17427802703&amp;gbraid=0AAAAADvLFWfsDE1Tsv3lc8Ygj76usrxpb&amp;gclid=Cj0KCQjw7eXTBhDBARIsAKF-w46rgG5TKtn1cQ0I3Byk5rHJGgeVZPHx_C_o5ullEAvIPwXRRlB7_eAaAt4wEALw_wcB</t>
    </r>
  </si>
  <si>
    <t>C6</t>
  </si>
  <si>
    <t>1uF</t>
  </si>
  <si>
    <r>
      <rPr>
        <u val="single"/>
        <sz val="10"/>
        <color indexed="12"/>
        <rFont val="Helvetica Neue"/>
      </rPr>
      <t>https://robu.in/product/grm155b31c105ka12d-murata-cap-ceramic-1uf-16v-b-10-pad-smd-0402-85c-t-r/?gad_source=1&amp;gad_campaignid=17427802703&amp;gbraid=0AAAAADvLFWfsDE1Tsv3lc8Ygj76usrxpb&amp;gclid=Cj0KCQjw7eXTBhDBARIsAKF-w47G0TInJFTm5xKhkqMSshKzZ_HYmzgeZBjrBTRX4r9E3ESI-Is7ENAaAv_xEALw_wcB</t>
    </r>
  </si>
  <si>
    <t>C9, C19</t>
  </si>
  <si>
    <t>C_0603_1608Metric</t>
  </si>
  <si>
    <t>10uF</t>
  </si>
  <si>
    <r>
      <rPr>
        <u val="single"/>
        <sz val="10"/>
        <color indexed="12"/>
        <rFont val="Helvetica Neue"/>
      </rPr>
      <t>https://robu.in/product/grm188r61e106ma73d-murata-cap-ceramic-10uf-25v-x5r-20-pad-smd-0603-85c-automotive-t-r/?gad_source=1&amp;gad_campaignid=17427802703&amp;gbraid=0AAAAADvLFWfsDE1Tsv3lc8Ygj76usrxpb&amp;gclid=Cj0KCQjw7eXTBhDBARIsAKF-w47sVJMxJOjjrCnJ1EM-wUwlmQ3kUUfJrEdGOVdrHQ6oNnQ_GNFN0koaAn2wEALw_wcB</t>
    </r>
  </si>
  <si>
    <t>C10</t>
  </si>
  <si>
    <t>C_1206_3216Metric</t>
  </si>
  <si>
    <t>47uF</t>
  </si>
  <si>
    <r>
      <rPr>
        <u val="single"/>
        <sz val="10"/>
        <color indexed="12"/>
        <rFont val="Helvetica Neue"/>
      </rPr>
      <t>https://robu.in/product/grm31cr61e476me44l-murata-25v-47uf-x5r-%25c2%25b120-1206-multilayer-ceramic-capacitors-mlcc-smd-smt-rohs/</t>
    </r>
  </si>
  <si>
    <t>C11, C14, C15, C17</t>
  </si>
  <si>
    <t>0.1uF</t>
  </si>
  <si>
    <t>C12, C18</t>
  </si>
  <si>
    <r>
      <rPr>
        <u val="single"/>
        <sz val="10"/>
        <color indexed="12"/>
        <rFont val="Helvetica Neue"/>
      </rPr>
      <t>https://robu.in/product/grm188r71e105ka12d-murata-cap-ceramic-1uf-25v-x7r-10-pad-smd-0603-125c-t-r/?gad_source=1&amp;gad_campaignid=17427802703&amp;gbraid=0AAAAADvLFWfsDE1Tsv3lc8Ygj76usrxpb&amp;gclid=Cj0KCQjw7eXTBhDBARIsAKF-w44VgB7eXKJJyqN8LtVbOU-eLG4cvYyyerMGC_ycOBT9iVxs8bIwAH4aAqXLEALw_wcB</t>
    </r>
  </si>
  <si>
    <t>D1</t>
  </si>
  <si>
    <t>SS14</t>
  </si>
  <si>
    <t>DO-214AC</t>
  </si>
  <si>
    <r>
      <rPr>
        <u val="single"/>
        <sz val="10"/>
        <color indexed="12"/>
        <rFont val="Helvetica Neue"/>
      </rPr>
      <t>https://robu.in/product/ss14-slkor-40v-550mv1a-1a-smado-214ac-schottky-diodes-rohs/?gad_source=1&amp;gad_campaignid=17427802703&amp;gbraid=0AAAAADvLFWfsDE1Tsv3lc8Ygj76usrxpb&amp;gclid=Cj0KCQjw7eXTBhDBARIsAKF-w44Qept94bb_B-JIeZgtih8miHVa2msSlkudqmIJY8RgQ00TBUXWZXAaAhg3EALw_wcB</t>
    </r>
  </si>
  <si>
    <t>D2</t>
  </si>
  <si>
    <t>D_0603_1608Metric</t>
  </si>
  <si>
    <t>SDM2U30CSP-7B</t>
  </si>
  <si>
    <r>
      <rPr>
        <u val="single"/>
        <sz val="10"/>
        <color indexed="12"/>
        <rFont val="Helvetica Neue"/>
      </rPr>
      <t>https://robu.in/product/sdm2u30csp-7b-diodes-incorporated-30v-480mv2a-2a-0603-schottky-diodes-rohs/</t>
    </r>
  </si>
  <si>
    <t>D3</t>
  </si>
  <si>
    <t>LED_0402_1005Metric</t>
  </si>
  <si>
    <t>LED - WHITE</t>
  </si>
  <si>
    <r>
      <rPr>
        <u val="single"/>
        <sz val="10"/>
        <color indexed="12"/>
        <rFont val="Helvetica Neue"/>
      </rPr>
      <t>https://robu.in/product/0402-surface-mount-led-white/</t>
    </r>
  </si>
  <si>
    <t>D4</t>
  </si>
  <si>
    <t>LED-ORANGE</t>
  </si>
  <si>
    <r>
      <rPr>
        <u val="single"/>
        <sz val="10"/>
        <color indexed="12"/>
        <rFont val="Helvetica Neue"/>
      </rPr>
      <t>https://robu.in/product/0402-surface-mount-led-orange/</t>
    </r>
  </si>
  <si>
    <t>D5</t>
  </si>
  <si>
    <t>LED - GREEN</t>
  </si>
  <si>
    <r>
      <rPr>
        <u val="single"/>
        <sz val="10"/>
        <color indexed="12"/>
        <rFont val="Helvetica Neue"/>
      </rPr>
      <t>https://robu.in/product/0402-surface-mount-led-green-50-pcs/</t>
    </r>
  </si>
  <si>
    <t>D6, D8</t>
  </si>
  <si>
    <t>D_SMA</t>
  </si>
  <si>
    <t>SS34</t>
  </si>
  <si>
    <r>
      <rPr>
        <u val="single"/>
        <sz val="10"/>
        <color indexed="12"/>
        <rFont val="Helvetica Neue"/>
      </rPr>
      <t>https://robu.in/product/ss34-slkor-40v-500mv3a-3a-smado-214ac-schottky-diodes-rohs/?gad_source=1&amp;gad_campaignid=17427802703&amp;gbraid=0AAAAADvLFWfsDE1Tsv3lc8Ygj76usrxpb&amp;gclid=Cj0KCQjw7eXTBhDBARIsAKF-w47VUpsF9Kb7rnHYCXDdJmqFD_GbUUZMs48jNbHWVwUkyenBPV_mPw4aAoQsEALw_wcB</t>
    </r>
  </si>
  <si>
    <t>D7</t>
  </si>
  <si>
    <t>LED-YELLOW</t>
  </si>
  <si>
    <r>
      <rPr>
        <u val="single"/>
        <sz val="10"/>
        <color indexed="12"/>
        <rFont val="Helvetica Neue"/>
      </rPr>
      <t>https://robu.in/product/0402-surface-mount-led-yellow/</t>
    </r>
  </si>
  <si>
    <t>D9</t>
  </si>
  <si>
    <t>D_SMB_Handsoldering</t>
  </si>
  <si>
    <t>SMBJ18A</t>
  </si>
  <si>
    <r>
      <rPr>
        <u val="single"/>
        <sz val="10"/>
        <color indexed="12"/>
        <rFont val="Helvetica Neue"/>
      </rPr>
      <t>https://robu.in/product/smbj18a-13-f-diodes-incorporated-20-5a-600w-29-2v-23-3v-unidirectional-18v-smbdo-214aa-esd-and-surge-protection-tvs-esd-rohs/</t>
    </r>
  </si>
  <si>
    <t>F1</t>
  </si>
  <si>
    <t>FUSM4632X85</t>
  </si>
  <si>
    <t>MF-MSMF050-2</t>
  </si>
  <si>
    <r>
      <rPr>
        <u val="single"/>
        <sz val="10"/>
        <color indexed="12"/>
        <rFont val="Helvetica Neue"/>
      </rPr>
      <t>https://www.lioncircuits.com/parts/MF-MSMF050-2?srsltid=AfmBOoph58xPHN0zb-51FVVbLiIBV_jOSqj1V0B7Sm0LGywLCT_73zkz</t>
    </r>
  </si>
  <si>
    <t>FL1</t>
  </si>
  <si>
    <t>BEADC2012X105N</t>
  </si>
  <si>
    <t>BLM21PG121SN1D</t>
  </si>
  <si>
    <r>
      <rPr>
        <u val="single"/>
        <sz val="10"/>
        <color indexed="12"/>
        <rFont val="Helvetica Neue"/>
      </rPr>
      <t>https://www.lioncircuits.com/parts/BLM21PG121SN1D?srsltid=AfmBOopoFYIsMl9Ce8KcUjY8v_4AqsZ06oW4iUqZYiObIbPO_IR_Bx-d</t>
    </r>
  </si>
  <si>
    <t>J1</t>
  </si>
  <si>
    <t>PinHeader_1x04_P2.00mm_Vertical</t>
  </si>
  <si>
    <t>Conn_01x04_Socket</t>
  </si>
  <si>
    <r>
      <rPr>
        <u val="single"/>
        <sz val="10"/>
        <color indexed="12"/>
        <rFont val="Helvetica Neue"/>
      </rPr>
      <t>https://robu.in/product/2mm-pitch-male-berg-strip-40x1-2pcs/</t>
    </r>
  </si>
  <si>
    <t>J2</t>
  </si>
  <si>
    <t>GCT_USB4105GFA</t>
  </si>
  <si>
    <t>USB4105GFA</t>
  </si>
  <si>
    <r>
      <rPr>
        <u val="single"/>
        <sz val="10"/>
        <color indexed="8"/>
        <rFont val="Helvetica Neue"/>
      </rPr>
      <t>https://www.ktron.in/product/16-pin-usb-type-c-connector-smd/?srsltid=AfmBOopC8atir4QWWGWLIhL0K_3z9sSfw6OYKM-ySLUY6Trg5djyC5DB</t>
    </r>
  </si>
  <si>
    <t>J4</t>
  </si>
  <si>
    <t>JST_XA_B02B-XASK-1-A_1x02_P2.50mm_Vertical</t>
  </si>
  <si>
    <t>Conn_01x02_Pin</t>
  </si>
  <si>
    <r>
      <rPr>
        <u val="single"/>
        <sz val="10"/>
        <color indexed="12"/>
        <rFont val="Helvetica Neue"/>
      </rPr>
      <t>https://robu.in/product/2-pin-jst-xh-2-54mm-pitch-plug-and-socket-with-cable-10-pcs/</t>
    </r>
  </si>
  <si>
    <t>J11, J12</t>
  </si>
  <si>
    <t>PinHeader_1x14_P2.00mm_Vertical</t>
  </si>
  <si>
    <t>Conn_01x14_Socket</t>
  </si>
  <si>
    <t>L1</t>
  </si>
  <si>
    <t>L_0603_1608Metric</t>
  </si>
  <si>
    <t>10uH</t>
  </si>
  <si>
    <r>
      <rPr>
        <u val="single"/>
        <sz val="10"/>
        <color indexed="12"/>
        <rFont val="Helvetica Neue"/>
      </rPr>
      <t>https://robu.in/product/mlz1608m100wt000-tdk-10-%C2%B5h-shielded-multilayer-inductor-250-ma-1-05ohm-0603-1608-metric/</t>
    </r>
  </si>
  <si>
    <t>L3</t>
  </si>
  <si>
    <t>INDPM5552X200N</t>
  </si>
  <si>
    <t>IHLP2020BZER4R7M11</t>
  </si>
  <si>
    <r>
      <rPr>
        <u val="single"/>
        <sz val="10"/>
        <color indexed="12"/>
        <rFont val="Helvetica Neue"/>
      </rPr>
      <t>https://robu.in/product/ihlp2020bzer4r7m11-vishay-power-inductor-smd-4-7-%25c2%25b5h-3-2-a-shielded-3-a/</t>
    </r>
  </si>
  <si>
    <t>Q1</t>
  </si>
  <si>
    <t>SOT-23</t>
  </si>
  <si>
    <t>FDN340P</t>
  </si>
  <si>
    <r>
      <rPr>
        <u val="single"/>
        <sz val="10"/>
        <color indexed="12"/>
        <rFont val="Helvetica Neue"/>
      </rPr>
      <t>https://robu.in/product/fdn340p-slkor-20v-3a-1w-70m%CF%894-5v2a-1v-1-piece-p-channel-sot-23-mosfets-rohs/</t>
    </r>
  </si>
  <si>
    <t>R1, R4, R6, R14, R19</t>
  </si>
  <si>
    <t>R_0402_1005Metric</t>
  </si>
  <si>
    <t>10K</t>
  </si>
  <si>
    <r>
      <rPr>
        <u val="single"/>
        <sz val="10"/>
        <color indexed="12"/>
        <rFont val="Helvetica Neue"/>
      </rPr>
      <t>https://robu.in/product/rc0402fr-1010kl-yageo-0-063w-thick-film-resistors-%25c2%25b1100ppm-%25e2%2584%2583-%25c2%25b11-10k%25cf%2589-0402-chip-resistor-surface-mount-rohs/</t>
    </r>
  </si>
  <si>
    <t>R2, R3</t>
  </si>
  <si>
    <t>1M ohm</t>
  </si>
  <si>
    <r>
      <rPr>
        <u val="single"/>
        <sz val="10"/>
        <color indexed="12"/>
        <rFont val="Helvetica Neue"/>
      </rPr>
      <t>https://robu.in/product/rc0402fr-071ml-yageo-res-thick-film-0402-1m-ohm-1-0-063w1-16w-%C2%B1100ppm-c-pad-smd-t-r/</t>
    </r>
  </si>
  <si>
    <t>R5, R8, R9, R10, R11, R20</t>
  </si>
  <si>
    <t>1K</t>
  </si>
  <si>
    <r>
      <rPr>
        <u val="single"/>
        <sz val="10"/>
        <color indexed="12"/>
        <rFont val="Helvetica Neue"/>
      </rPr>
      <t>https://robu.in/product/ac0402jr-071kl-yageo-res-thick-film-0402-1k-ohm-5-0-063w1-16w-%C2%B1100ppm-c-pad-smd-t-r-automotive-aec-q200/</t>
    </r>
  </si>
  <si>
    <t>R7</t>
  </si>
  <si>
    <t>Use 1k</t>
  </si>
  <si>
    <t>R13</t>
  </si>
  <si>
    <t>56.2K</t>
  </si>
  <si>
    <r>
      <rPr>
        <u val="single"/>
        <sz val="10"/>
        <color indexed="12"/>
        <rFont val="Helvetica Neue"/>
      </rPr>
      <t>https://robu.in/product/ac0402fr-0756k2l-yageo-res-thick-film-0402-56-2k-ohm-1-0-063w1-16w-%C2%B1100ppm-c-pad-smd-t-r-automotive-aec-q200/</t>
    </r>
  </si>
  <si>
    <t>R15, R16</t>
  </si>
  <si>
    <t>5.1K</t>
  </si>
  <si>
    <r>
      <rPr>
        <u val="single"/>
        <sz val="10"/>
        <color indexed="12"/>
        <rFont val="Helvetica Neue"/>
      </rPr>
      <t>https://robu.in/product/rc0402fr-075k1l-yageo-smd-chip-resistor/</t>
    </r>
  </si>
  <si>
    <t>R17, R18</t>
  </si>
  <si>
    <t>22 ohm</t>
  </si>
  <si>
    <r>
      <rPr>
        <u val="single"/>
        <sz val="10"/>
        <color indexed="12"/>
        <rFont val="Helvetica Neue"/>
      </rPr>
      <t>https://robu.in/product/rc0402fr-0722rl-yageo-smd-chip-resistor-22-ohm-%25c2%25b1-1-100-mw-0402-1005-metric-thick-film-precision-pack-of-10/</t>
    </r>
  </si>
  <si>
    <t>RV1, RV2</t>
  </si>
  <si>
    <t>VARC1608X56N</t>
  </si>
  <si>
    <t>CG0603MLC-05E</t>
  </si>
  <si>
    <r>
      <rPr>
        <u val="single"/>
        <sz val="10"/>
        <color indexed="12"/>
        <rFont val="Helvetica Neue"/>
      </rPr>
      <t>https://robu.in/product/cg0603mlc-05e-bourns-tvs-varistor-8-v-5-v-chipguard-mlc-20-v-0603-1608-metric-multilayer-varistor-mlv/</t>
    </r>
  </si>
  <si>
    <t>SW1</t>
  </si>
  <si>
    <t>SW_Tactile_SPST_NO_Straight_CK_PTS636Sx25SMTRLFS</t>
  </si>
  <si>
    <t>SW_Push</t>
  </si>
  <si>
    <r>
      <rPr>
        <u val="single"/>
        <sz val="10"/>
        <color indexed="12"/>
        <rFont val="Helvetica Neue"/>
      </rPr>
      <t>https://robu.in/product/lck-ta007h27-2wl-lckelec-362-7-patch-260g-tact-switch/</t>
    </r>
  </si>
  <si>
    <t>U1</t>
  </si>
  <si>
    <t>TQFP-32_7x7mm_P0.8mm</t>
  </si>
  <si>
    <t>ATmega16U2-A</t>
  </si>
  <si>
    <r>
      <rPr>
        <u val="single"/>
        <sz val="10"/>
        <color indexed="8"/>
        <rFont val="Helvetica Neue"/>
      </rPr>
      <t>https://in.element14.com/microchip/atmega16u2-au/mcu-8bit-16mhz-tqfp-32/dp/1841607</t>
    </r>
  </si>
  <si>
    <t>U2</t>
  </si>
  <si>
    <t>SOT95P280X145-5N</t>
  </si>
  <si>
    <t>TLV70233DBVR</t>
  </si>
  <si>
    <r>
      <rPr>
        <u val="single"/>
        <sz val="10"/>
        <color indexed="12"/>
        <rFont val="Helvetica Neue"/>
      </rPr>
      <t>https://www.ktron.in/product/tlv70233dbvr-regulator-ic/</t>
    </r>
  </si>
  <si>
    <t>U5</t>
  </si>
  <si>
    <t>SO08</t>
  </si>
  <si>
    <t>LMV358</t>
  </si>
  <si>
    <r>
      <rPr>
        <u val="single"/>
        <sz val="10"/>
        <color indexed="12"/>
        <rFont val="Helvetica Neue"/>
      </rPr>
      <t>https://robu.in/product/lmv358-slkor-dual-0-3v-us-1mhz-9mv-sop-8-operational-amplifier-rohs/</t>
    </r>
  </si>
  <si>
    <t>U6</t>
  </si>
  <si>
    <t>ATmega328P-A</t>
  </si>
  <si>
    <r>
      <rPr>
        <u val="single"/>
        <sz val="10"/>
        <color indexed="12"/>
        <rFont val="Helvetica Neue"/>
      </rPr>
      <t>https://robu.in/product/atmega328p-au-microchip-8-bit-mcu-avr-atmega/?gad_source=1&amp;gad_campaignid=17427802703&amp;gbraid=0AAAAADvLFWfsDE1Tsv3lc8Ygj76usrxpb&amp;gclid=Cj0KCQjw7eXTBhDBARIsAKF-w44zB8acGTusGdun0eCm2pZp1eYnfPXPR3WQ8FRCxJ2kPVR1BBFBNMkaAkWWEALw_wcB</t>
    </r>
  </si>
  <si>
    <t>VR1</t>
  </si>
  <si>
    <t>SOT95P280X110-6N</t>
  </si>
  <si>
    <t>TPS561208DDCR</t>
  </si>
  <si>
    <r>
      <rPr>
        <u val="single"/>
        <sz val="10"/>
        <color indexed="12"/>
        <rFont val="Helvetica Neue"/>
      </rPr>
      <t>https://robu.in/product/tps561208ddcr-texas-instruments-step-down-type-adjustable-760mv7v-1a-4-5v17v-tsot-23-6-dc-dc-converters-rohs/</t>
    </r>
  </si>
  <si>
    <t>Y1</t>
  </si>
  <si>
    <t>OSC_CSTCE16M0V53-R0</t>
  </si>
  <si>
    <t>16MHz Crystal</t>
  </si>
  <si>
    <r>
      <rPr>
        <u val="single"/>
        <sz val="10"/>
        <color indexed="14"/>
        <rFont val="Helvetica Neue"/>
      </rPr>
      <t>https://www.lioncircuits.com/parts/CSTNE16M0VH3C000R0?srsltid=AfmBOoopgO_sQ1oYprtD2xnAziDcd6In1HVtF2kqItGk96R_QHRoMT9Jews</t>
    </r>
  </si>
  <si>
    <t>Y2</t>
  </si>
  <si>
    <t>16MHz Y2</t>
  </si>
  <si>
    <r>
      <rPr>
        <u val="single"/>
        <sz val="10"/>
        <color indexed="12"/>
        <rFont val="Helvetica Neue"/>
      </rPr>
      <t>https://robu.in/product/hc49-s-16mhz-crystal-oscillator-pack-of-5/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</si>
</sst>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0"/>
      <color indexed="12"/>
      <name val="Helvetica Neue"/>
    </font>
    <font>
      <sz val="10"/>
      <color indexed="12"/>
      <name val="Helvetica Neue"/>
    </font>
    <font>
      <u val="single"/>
      <sz val="10"/>
      <color indexed="12"/>
      <name val="Helvetica Neue"/>
    </font>
    <font>
      <u val="single"/>
      <sz val="10"/>
      <color indexed="8"/>
      <name val="Helvetica Neue"/>
    </font>
    <font>
      <b val="1"/>
      <sz val="10"/>
      <color indexed="14"/>
      <name val="Helvetica Neue"/>
    </font>
    <font>
      <sz val="10"/>
      <color indexed="14"/>
      <name val="Helvetica Neue"/>
    </font>
    <font>
      <u val="single"/>
      <sz val="10"/>
      <color indexed="14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center"/>
    </xf>
    <xf numFmtId="49" fontId="2" fillId="2" borderId="1" applyNumberFormat="1" applyFont="1" applyFill="1" applyBorder="1" applyAlignment="1" applyProtection="0">
      <alignment horizontal="center" vertical="center"/>
    </xf>
    <xf numFmtId="0" fontId="3" fillId="3" borderId="2" applyNumberFormat="1" applyFont="1" applyFill="1" applyBorder="1" applyAlignment="1" applyProtection="0">
      <alignment vertical="center"/>
    </xf>
    <xf numFmtId="49" fontId="4" borderId="3" applyNumberFormat="1" applyFont="1" applyFill="0" applyBorder="1" applyAlignment="1" applyProtection="0">
      <alignment horizontal="center" vertical="center"/>
    </xf>
    <xf numFmtId="49" fontId="4" borderId="4" applyNumberFormat="1" applyFont="1" applyFill="0" applyBorder="1" applyAlignment="1" applyProtection="0">
      <alignment horizontal="center" vertical="center"/>
    </xf>
    <xf numFmtId="0" fontId="4" borderId="4" applyNumberFormat="1" applyFont="1" applyFill="0" applyBorder="1" applyAlignment="1" applyProtection="0">
      <alignment horizontal="center" vertical="center"/>
    </xf>
    <xf numFmtId="49" fontId="4" borderId="4" applyNumberFormat="1" applyFont="1" applyFill="0" applyBorder="1" applyAlignment="1" applyProtection="0">
      <alignment vertical="center"/>
    </xf>
    <xf numFmtId="0" fontId="3" fillId="3" borderId="5" applyNumberFormat="1" applyFont="1" applyFill="1" applyBorder="1" applyAlignment="1" applyProtection="0">
      <alignment vertical="center"/>
    </xf>
    <xf numFmtId="49" fontId="4" borderId="6" applyNumberFormat="1" applyFont="1" applyFill="0" applyBorder="1" applyAlignment="1" applyProtection="0">
      <alignment horizontal="center" vertical="center"/>
    </xf>
    <xf numFmtId="49" fontId="4" borderId="7" applyNumberFormat="1" applyFont="1" applyFill="0" applyBorder="1" applyAlignment="1" applyProtection="0">
      <alignment horizontal="center" vertical="center"/>
    </xf>
    <xf numFmtId="0" fontId="4" borderId="7" applyNumberFormat="1" applyFont="1" applyFill="0" applyBorder="1" applyAlignment="1" applyProtection="0">
      <alignment horizontal="center" vertical="center"/>
    </xf>
    <xf numFmtId="49" fontId="4" borderId="7" applyNumberFormat="1" applyFont="1" applyFill="0" applyBorder="1" applyAlignment="1" applyProtection="0">
      <alignment vertical="center"/>
    </xf>
    <xf numFmtId="0" fontId="2" fillId="3" borderId="5" applyNumberFormat="1" applyFont="1" applyFill="1" applyBorder="1" applyAlignment="1" applyProtection="0">
      <alignment vertical="center"/>
    </xf>
    <xf numFmtId="49" fontId="0" borderId="6" applyNumberFormat="1" applyFont="1" applyFill="0" applyBorder="1" applyAlignment="1" applyProtection="0">
      <alignment horizontal="center" vertical="center"/>
    </xf>
    <xf numFmtId="49" fontId="0" borderId="7" applyNumberFormat="1" applyFont="1" applyFill="0" applyBorder="1" applyAlignment="1" applyProtection="0">
      <alignment horizontal="center" vertical="center"/>
    </xf>
    <xf numFmtId="0" fontId="0" borderId="7" applyNumberFormat="1" applyFont="1" applyFill="0" applyBorder="1" applyAlignment="1" applyProtection="0">
      <alignment horizontal="center" vertical="center"/>
    </xf>
    <xf numFmtId="49" fontId="0" borderId="7" applyNumberFormat="1" applyFont="1" applyFill="0" applyBorder="1" applyAlignment="1" applyProtection="0">
      <alignment vertical="center"/>
    </xf>
    <xf numFmtId="0" fontId="7" fillId="3" borderId="5" applyNumberFormat="1" applyFont="1" applyFill="1" applyBorder="1" applyAlignment="1" applyProtection="0">
      <alignment vertical="center"/>
    </xf>
    <xf numFmtId="49" fontId="8" borderId="6" applyNumberFormat="1" applyFont="1" applyFill="0" applyBorder="1" applyAlignment="1" applyProtection="0">
      <alignment horizontal="center" vertical="center"/>
    </xf>
    <xf numFmtId="49" fontId="8" borderId="7" applyNumberFormat="1" applyFont="1" applyFill="0" applyBorder="1" applyAlignment="1" applyProtection="0">
      <alignment horizontal="center" vertical="center"/>
    </xf>
    <xf numFmtId="0" fontId="8" borderId="7" applyNumberFormat="1" applyFont="1" applyFill="0" applyBorder="1" applyAlignment="1" applyProtection="0">
      <alignment horizontal="center" vertical="center"/>
    </xf>
    <xf numFmtId="49" fontId="8" borderId="7" applyNumberFormat="1" applyFont="1" applyFill="0" applyBorder="1" applyAlignment="1" applyProtection="0">
      <alignment vertical="center"/>
    </xf>
    <xf numFmtId="0" fontId="2" fillId="3" borderId="5" applyNumberFormat="0" applyFont="1" applyFill="1" applyBorder="1" applyAlignment="1" applyProtection="0">
      <alignment vertical="center"/>
    </xf>
    <xf numFmtId="0" fontId="0" borderId="6" applyNumberFormat="0" applyFont="1" applyFill="0" applyBorder="1" applyAlignment="1" applyProtection="0">
      <alignment horizontal="center" vertical="center"/>
    </xf>
    <xf numFmtId="0" fontId="0" borderId="7" applyNumberFormat="0" applyFont="1" applyFill="0" applyBorder="1" applyAlignment="1" applyProtection="0">
      <alignment horizontal="center" vertical="center"/>
    </xf>
    <xf numFmtId="0" fontId="0" borderId="7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017000"/>
      <rgbColor rgb="ffdbdbdb"/>
      <rgbColor rgb="ffb417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obu.in/product/gcm155r71h104ke02j-murata-electronics-50v-100nf-x7r-%C2%B110-0402-multilayer-ceramic-capacitors-mlcc-smd-smt-rohs/?gad_source=1&amp;gad_campaignid=17427802703&amp;gbraid=0AAAAADvLFWfsDE1Tsv3lc8Ygj76usrxpb&amp;gclid=Cj0KCQjw7eXTBhDBARIsAKF-w4605fArVuCMtcXnAE0XygpFFm7nM9QEV3kyJcbQJLQnuKb2NC0mmdYaAia8EALw_wcB" TargetMode="External"/><Relationship Id="rId2" Type="http://schemas.openxmlformats.org/officeDocument/2006/relationships/hyperlink" Target="https://robu.in/product/grm1555c1h220ga01d-murata-cap-ceramic-22pf-50v-c0g-2-pad-smd-0402-125c-t-r/?gad_source=1&amp;gad_campaignid=17427802703&amp;gbraid=0AAAAADvLFWfsDE1Tsv3lc8Ygj76usrxpb&amp;gclid=Cj0KCQjw7eXTBhDBARIsAKF-w46rgG5TKtn1cQ0I3Byk5rHJGgeVZPHx_C_o5ullEAvIPwXRRlB7_eAaAt4wEALw_wcB" TargetMode="External"/><Relationship Id="rId3" Type="http://schemas.openxmlformats.org/officeDocument/2006/relationships/hyperlink" Target="https://robu.in/product/grm155b31c105ka12d-murata-cap-ceramic-1uf-16v-b-10-pad-smd-0402-85c-t-r/?gad_source=1&amp;gad_campaignid=17427802703&amp;gbraid=0AAAAADvLFWfsDE1Tsv3lc8Ygj76usrxpb&amp;gclid=Cj0KCQjw7eXTBhDBARIsAKF-w47G0TInJFTm5xKhkqMSshKzZ_HYmzgeZBjrBTRX4r9E3ESI-Is7ENAaAv_xEALw_wcB" TargetMode="External"/><Relationship Id="rId4" Type="http://schemas.openxmlformats.org/officeDocument/2006/relationships/hyperlink" Target="https://robu.in/product/grm188r61e106ma73d-murata-cap-ceramic-10uf-25v-x5r-20-pad-smd-0603-85c-automotive-t-r/?gad_source=1&amp;gad_campaignid=17427802703&amp;gbraid=0AAAAADvLFWfsDE1Tsv3lc8Ygj76usrxpb&amp;gclid=Cj0KCQjw7eXTBhDBARIsAKF-w47sVJMxJOjjrCnJ1EM-wUwlmQ3kUUfJrEdGOVdrHQ6oNnQ_GNFN0koaAn2wEALw_wcB" TargetMode="External"/><Relationship Id="rId5" Type="http://schemas.openxmlformats.org/officeDocument/2006/relationships/hyperlink" Target="https://robu.in/product/grm31cr61e476me44l-murata-25v-47uf-x5r-%25c2%25b120-1206-multilayer-ceramic-capacitors-mlcc-smd-smt-rohs/" TargetMode="External"/><Relationship Id="rId6" Type="http://schemas.openxmlformats.org/officeDocument/2006/relationships/hyperlink" Target="https://robu.in/product/gcm155r71h104ke02j-murata-electronics-50v-100nf-x7r-%C2%B110-0402-multilayer-ceramic-capacitors-mlcc-smd-smt-rohs/?gad_source=1&amp;gad_campaignid=17427802703&amp;gbraid=0AAAAADvLFWfsDE1Tsv3lc8Ygj76usrxpb&amp;gclid=Cj0KCQjw7eXTBhDBARIsAKF-w4605fArVuCMtcXnAE0XygpFFm7nM9QEV3kyJcbQJLQnuKb2NC0mmdYaAia8EALw_wcB" TargetMode="External"/><Relationship Id="rId7" Type="http://schemas.openxmlformats.org/officeDocument/2006/relationships/hyperlink" Target="https://robu.in/product/grm188r71e105ka12d-murata-cap-ceramic-1uf-25v-x7r-10-pad-smd-0603-125c-t-r/?gad_source=1&amp;gad_campaignid=17427802703&amp;gbraid=0AAAAADvLFWfsDE1Tsv3lc8Ygj76usrxpb&amp;gclid=Cj0KCQjw7eXTBhDBARIsAKF-w44VgB7eXKJJyqN8LtVbOU-eLG4cvYyyerMGC_ycOBT9iVxs8bIwAH4aAqXLEALw_wcB" TargetMode="External"/><Relationship Id="rId8" Type="http://schemas.openxmlformats.org/officeDocument/2006/relationships/hyperlink" Target="https://robu.in/product/ss14-slkor-40v-550mv1a-1a-smado-214ac-schottky-diodes-rohs/?gad_source=1&amp;gad_campaignid=17427802703&amp;gbraid=0AAAAADvLFWfsDE1Tsv3lc8Ygj76usrxpb&amp;gclid=Cj0KCQjw7eXTBhDBARIsAKF-w44Qept94bb_B-JIeZgtih8miHVa2msSlkudqmIJY8RgQ00TBUXWZXAaAhg3EALw_wcB" TargetMode="External"/><Relationship Id="rId9" Type="http://schemas.openxmlformats.org/officeDocument/2006/relationships/hyperlink" Target="https://robu.in/product/sdm2u30csp-7b-diodes-incorporated-30v-480mv2a-2a-0603-schottky-diodes-rohs/" TargetMode="External"/><Relationship Id="rId10" Type="http://schemas.openxmlformats.org/officeDocument/2006/relationships/hyperlink" Target="https://robu.in/product/0402-surface-mount-led-white/" TargetMode="External"/><Relationship Id="rId11" Type="http://schemas.openxmlformats.org/officeDocument/2006/relationships/hyperlink" Target="https://robu.in/product/0402-surface-mount-led-orange/" TargetMode="External"/><Relationship Id="rId12" Type="http://schemas.openxmlformats.org/officeDocument/2006/relationships/hyperlink" Target="https://robu.in/product/0402-surface-mount-led-green-50-pcs/" TargetMode="External"/><Relationship Id="rId13" Type="http://schemas.openxmlformats.org/officeDocument/2006/relationships/hyperlink" Target="https://robu.in/product/ss34-slkor-40v-500mv3a-3a-smado-214ac-schottky-diodes-rohs/?gad_source=1&amp;gad_campaignid=17427802703&amp;gbraid=0AAAAADvLFWfsDE1Tsv3lc8Ygj76usrxpb&amp;gclid=Cj0KCQjw7eXTBhDBARIsAKF-w47VUpsF9Kb7rnHYCXDdJmqFD_GbUUZMs48jNbHWVwUkyenBPV_mPw4aAoQsEALw_wcB" TargetMode="External"/><Relationship Id="rId14" Type="http://schemas.openxmlformats.org/officeDocument/2006/relationships/hyperlink" Target="https://robu.in/product/0402-surface-mount-led-yellow/" TargetMode="External"/><Relationship Id="rId15" Type="http://schemas.openxmlformats.org/officeDocument/2006/relationships/hyperlink" Target="https://robu.in/product/smbj18a-13-f-diodes-incorporated-20-5a-600w-29-2v-23-3v-unidirectional-18v-smbdo-214aa-esd-and-surge-protection-tvs-esd-rohs/" TargetMode="External"/><Relationship Id="rId16" Type="http://schemas.openxmlformats.org/officeDocument/2006/relationships/hyperlink" Target="https://www.lioncircuits.com/parts/MF-MSMF050-2?srsltid=AfmBOoph58xPHN0zb-51FVVbLiIBV_jOSqj1V0B7Sm0LGywLCT_73zkz" TargetMode="External"/><Relationship Id="rId17" Type="http://schemas.openxmlformats.org/officeDocument/2006/relationships/hyperlink" Target="https://www.lioncircuits.com/parts/BLM21PG121SN1D?srsltid=AfmBOopoFYIsMl9Ce8KcUjY8v_4AqsZ06oW4iUqZYiObIbPO_IR_Bx-d" TargetMode="External"/><Relationship Id="rId18" Type="http://schemas.openxmlformats.org/officeDocument/2006/relationships/hyperlink" Target="https://robu.in/product/2mm-pitch-male-berg-strip-40x1-2pcs/" TargetMode="External"/><Relationship Id="rId19" Type="http://schemas.openxmlformats.org/officeDocument/2006/relationships/hyperlink" Target="https://www.ktron.in/product/16-pin-usb-type-c-connector-smd/?srsltid=AfmBOopC8atir4QWWGWLIhL0K_3z9sSfw6OYKM-ySLUY6Trg5djyC5DB" TargetMode="External"/><Relationship Id="rId20" Type="http://schemas.openxmlformats.org/officeDocument/2006/relationships/hyperlink" Target="https://robu.in/product/2-pin-jst-xh-2-54mm-pitch-plug-and-socket-with-cable-10-pcs/" TargetMode="External"/><Relationship Id="rId21" Type="http://schemas.openxmlformats.org/officeDocument/2006/relationships/hyperlink" Target="https://robu.in/product/2mm-pitch-male-berg-strip-40x1-2pcs/" TargetMode="External"/><Relationship Id="rId22" Type="http://schemas.openxmlformats.org/officeDocument/2006/relationships/hyperlink" Target="https://robu.in/product/mlz1608m100wt000-tdk-10-%C2%B5h-shielded-multilayer-inductor-250-ma-1-05ohm-0603-1608-metric/" TargetMode="External"/><Relationship Id="rId23" Type="http://schemas.openxmlformats.org/officeDocument/2006/relationships/hyperlink" Target="https://robu.in/product/ihlp2020bzer4r7m11-vishay-power-inductor-smd-4-7-%25c2%25b5h-3-2-a-shielded-3-a/" TargetMode="External"/><Relationship Id="rId24" Type="http://schemas.openxmlformats.org/officeDocument/2006/relationships/hyperlink" Target="https://robu.in/product/fdn340p-slkor-20v-3a-1w-70m%CF%894-5v2a-1v-1-piece-p-channel-sot-23-mosfets-rohs/" TargetMode="External"/><Relationship Id="rId25" Type="http://schemas.openxmlformats.org/officeDocument/2006/relationships/hyperlink" Target="https://robu.in/product/rc0402fr-1010kl-yageo-0-063w-thick-film-resistors-%25c2%25b1100ppm-%25e2%2584%2583-%25c2%25b11-10k%25cf%2589-0402-chip-resistor-surface-mount-rohs/" TargetMode="External"/><Relationship Id="rId26" Type="http://schemas.openxmlformats.org/officeDocument/2006/relationships/hyperlink" Target="https://robu.in/product/rc0402fr-071ml-yageo-res-thick-film-0402-1m-ohm-1-0-063w1-16w-%C2%B1100ppm-c-pad-smd-t-r/" TargetMode="External"/><Relationship Id="rId27" Type="http://schemas.openxmlformats.org/officeDocument/2006/relationships/hyperlink" Target="https://robu.in/product/ac0402jr-071kl-yageo-res-thick-film-0402-1k-ohm-5-0-063w1-16w-%C2%B1100ppm-c-pad-smd-t-r-automotive-aec-q200/" TargetMode="External"/><Relationship Id="rId28" Type="http://schemas.openxmlformats.org/officeDocument/2006/relationships/hyperlink" Target="https://robu.in/product/ac0402fr-0756k2l-yageo-res-thick-film-0402-56-2k-ohm-1-0-063w1-16w-%C2%B1100ppm-c-pad-smd-t-r-automotive-aec-q200/" TargetMode="External"/><Relationship Id="rId29" Type="http://schemas.openxmlformats.org/officeDocument/2006/relationships/hyperlink" Target="https://robu.in/product/rc0402fr-075k1l-yageo-smd-chip-resistor/" TargetMode="External"/><Relationship Id="rId30" Type="http://schemas.openxmlformats.org/officeDocument/2006/relationships/hyperlink" Target="https://robu.in/product/rc0402fr-0722rl-yageo-smd-chip-resistor-22-ohm-%25c2%25b1-1-100-mw-0402-1005-metric-thick-film-precision-pack-of-10/" TargetMode="External"/><Relationship Id="rId31" Type="http://schemas.openxmlformats.org/officeDocument/2006/relationships/hyperlink" Target="https://robu.in/product/cg0603mlc-05e-bourns-tvs-varistor-8-v-5-v-chipguard-mlc-20-v-0603-1608-metric-multilayer-varistor-mlv/" TargetMode="External"/><Relationship Id="rId32" Type="http://schemas.openxmlformats.org/officeDocument/2006/relationships/hyperlink" Target="https://robu.in/product/lck-ta007h27-2wl-lckelec-362-7-patch-260g-tact-switch/" TargetMode="External"/><Relationship Id="rId33" Type="http://schemas.openxmlformats.org/officeDocument/2006/relationships/hyperlink" Target="https://in.element14.com/microchip/atmega16u2-au/mcu-8bit-16mhz-tqfp-32/dp/1841607" TargetMode="External"/><Relationship Id="rId34" Type="http://schemas.openxmlformats.org/officeDocument/2006/relationships/hyperlink" Target="https://www.ktron.in/product/tlv70233dbvr-regulator-ic/" TargetMode="External"/><Relationship Id="rId35" Type="http://schemas.openxmlformats.org/officeDocument/2006/relationships/hyperlink" Target="https://robu.in/product/lmv358-slkor-dual-0-3v-us-1mhz-9mv-sop-8-operational-amplifier-rohs/" TargetMode="External"/><Relationship Id="rId36" Type="http://schemas.openxmlformats.org/officeDocument/2006/relationships/hyperlink" Target="https://robu.in/product/atmega328p-au-microchip-8-bit-mcu-avr-atmega/?gad_source=1&amp;gad_campaignid=17427802703&amp;gbraid=0AAAAADvLFWfsDE1Tsv3lc8Ygj76usrxpb&amp;gclid=Cj0KCQjw7eXTBhDBARIsAKF-w44zB8acGTusGdun0eCm2pZp1eYnfPXPR3WQ8FRCxJ2kPVR1BBFBNMkaAkWWEALw_wcB" TargetMode="External"/><Relationship Id="rId37" Type="http://schemas.openxmlformats.org/officeDocument/2006/relationships/hyperlink" Target="https://robu.in/product/tps561208ddcr-texas-instruments-step-down-type-adjustable-760mv7v-1a-4-5v17v-tsot-23-6-dc-dc-converters-rohs/" TargetMode="External"/><Relationship Id="rId38" Type="http://schemas.openxmlformats.org/officeDocument/2006/relationships/hyperlink" Target="https://www.lioncircuits.com/parts/CSTNE16M0VH3C000R0?srsltid=AfmBOoopgO_sQ1oYprtD2xnAziDcd6In1HVtF2kqItGk96R_QHRoMT9Jews" TargetMode="External"/><Relationship Id="rId39" Type="http://schemas.openxmlformats.org/officeDocument/2006/relationships/hyperlink" Target="https://robu.in/product/hc49-s-16mhz-crystal-oscillator-pack-of-5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43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28.5" style="1" customWidth="1"/>
    <col min="3" max="3" width="46" style="1" customWidth="1"/>
    <col min="4" max="4" width="19.5" style="1" customWidth="1"/>
    <col min="5" max="5" width="8.17188" style="1" customWidth="1"/>
    <col min="6" max="6" width="14.6797" style="1" customWidth="1"/>
    <col min="7" max="7" width="10.7266" style="1" customWidth="1"/>
    <col min="8" max="8" width="62.6953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4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</row>
    <row r="3" ht="24" customHeight="1">
      <c r="A3" s="5">
        <v>1</v>
      </c>
      <c r="B3" t="s" s="6">
        <v>9</v>
      </c>
      <c r="C3" t="s" s="7">
        <v>10</v>
      </c>
      <c r="D3" t="s" s="7">
        <v>11</v>
      </c>
      <c r="E3" s="8">
        <v>7</v>
      </c>
      <c r="F3" s="8">
        <v>0.5</v>
      </c>
      <c r="G3" s="8" cm="1">
        <f t="array" ref="G3">E3*F3</f>
        <v>3.5</v>
      </c>
      <c r="H3" t="s" s="9">
        <v>12</v>
      </c>
    </row>
    <row r="4" ht="23.8" customHeight="1">
      <c r="A4" s="10">
        <v>2</v>
      </c>
      <c r="B4" t="s" s="11">
        <v>13</v>
      </c>
      <c r="C4" t="s" s="12">
        <v>10</v>
      </c>
      <c r="D4" t="s" s="12">
        <v>14</v>
      </c>
      <c r="E4" s="13">
        <v>2</v>
      </c>
      <c r="F4" s="13">
        <v>0.23</v>
      </c>
      <c r="G4" s="13" cm="1">
        <f t="array" ref="G4">E4*F4</f>
        <v>0.46</v>
      </c>
      <c r="H4" t="s" s="14">
        <v>15</v>
      </c>
    </row>
    <row r="5" ht="23.8" customHeight="1">
      <c r="A5" s="10">
        <v>3</v>
      </c>
      <c r="B5" t="s" s="11">
        <v>16</v>
      </c>
      <c r="C5" t="s" s="12">
        <v>10</v>
      </c>
      <c r="D5" t="s" s="12">
        <v>17</v>
      </c>
      <c r="E5" s="13">
        <v>1</v>
      </c>
      <c r="F5" s="13">
        <v>0.31</v>
      </c>
      <c r="G5" s="13" cm="1">
        <f t="array" ref="G5">E5*F5</f>
        <v>0.31</v>
      </c>
      <c r="H5" t="s" s="14">
        <v>18</v>
      </c>
    </row>
    <row r="6" ht="23.8" customHeight="1">
      <c r="A6" s="10">
        <v>4</v>
      </c>
      <c r="B6" t="s" s="11">
        <v>19</v>
      </c>
      <c r="C6" t="s" s="12">
        <v>20</v>
      </c>
      <c r="D6" t="s" s="12">
        <v>21</v>
      </c>
      <c r="E6" s="13">
        <v>2</v>
      </c>
      <c r="F6" s="13">
        <v>2.34</v>
      </c>
      <c r="G6" s="13" cm="1">
        <f t="array" ref="G6">E6*F6</f>
        <v>4.68</v>
      </c>
      <c r="H6" t="s" s="14">
        <v>22</v>
      </c>
    </row>
    <row r="7" ht="23.8" customHeight="1">
      <c r="A7" s="10">
        <v>5</v>
      </c>
      <c r="B7" t="s" s="11">
        <v>23</v>
      </c>
      <c r="C7" t="s" s="12">
        <v>24</v>
      </c>
      <c r="D7" t="s" s="12">
        <v>25</v>
      </c>
      <c r="E7" s="13">
        <v>1</v>
      </c>
      <c r="F7" s="13">
        <v>33</v>
      </c>
      <c r="G7" s="13" cm="1">
        <f t="array" ref="G7">E7*F7</f>
        <v>33</v>
      </c>
      <c r="H7" t="s" s="14">
        <v>26</v>
      </c>
    </row>
    <row r="8" ht="23.8" customHeight="1">
      <c r="A8" s="10">
        <v>6</v>
      </c>
      <c r="B8" t="s" s="11">
        <v>27</v>
      </c>
      <c r="C8" t="s" s="12">
        <v>10</v>
      </c>
      <c r="D8" t="s" s="12">
        <v>28</v>
      </c>
      <c r="E8" s="13">
        <v>4</v>
      </c>
      <c r="F8" s="13">
        <v>0.5</v>
      </c>
      <c r="G8" s="13" cm="1">
        <f t="array" ref="G8">E8*F8</f>
        <v>2</v>
      </c>
      <c r="H8" t="s" s="14">
        <v>12</v>
      </c>
    </row>
    <row r="9" ht="23.8" customHeight="1">
      <c r="A9" s="10">
        <v>7</v>
      </c>
      <c r="B9" t="s" s="11">
        <v>29</v>
      </c>
      <c r="C9" t="s" s="12">
        <v>20</v>
      </c>
      <c r="D9" t="s" s="12">
        <v>17</v>
      </c>
      <c r="E9" s="13">
        <v>2</v>
      </c>
      <c r="F9" s="13">
        <v>0.5</v>
      </c>
      <c r="G9" s="13" cm="1">
        <f t="array" ref="G9">E9*F9</f>
        <v>1</v>
      </c>
      <c r="H9" t="s" s="14">
        <v>30</v>
      </c>
    </row>
    <row r="10" ht="23.8" customHeight="1">
      <c r="A10" s="10">
        <v>8</v>
      </c>
      <c r="B10" t="s" s="11">
        <v>31</v>
      </c>
      <c r="C10" t="s" s="12">
        <v>32</v>
      </c>
      <c r="D10" t="s" s="12">
        <v>33</v>
      </c>
      <c r="E10" s="13">
        <v>1</v>
      </c>
      <c r="F10" s="13">
        <v>1.35</v>
      </c>
      <c r="G10" s="13" cm="1">
        <f t="array" ref="G10">E10*F10</f>
        <v>1.35</v>
      </c>
      <c r="H10" t="s" s="14">
        <v>34</v>
      </c>
    </row>
    <row r="11" ht="23.8" customHeight="1">
      <c r="A11" s="10">
        <v>9</v>
      </c>
      <c r="B11" t="s" s="11">
        <v>35</v>
      </c>
      <c r="C11" t="s" s="12">
        <v>36</v>
      </c>
      <c r="D11" t="s" s="12">
        <v>37</v>
      </c>
      <c r="E11" s="13">
        <v>1</v>
      </c>
      <c r="F11" s="13">
        <v>16</v>
      </c>
      <c r="G11" s="13" cm="1">
        <f t="array" ref="G11">E11*F11</f>
        <v>16</v>
      </c>
      <c r="H11" t="s" s="14">
        <v>38</v>
      </c>
    </row>
    <row r="12" ht="23.8" customHeight="1">
      <c r="A12" s="10">
        <v>10</v>
      </c>
      <c r="B12" t="s" s="11">
        <v>39</v>
      </c>
      <c r="C12" t="s" s="12">
        <v>40</v>
      </c>
      <c r="D12" t="s" s="12">
        <v>41</v>
      </c>
      <c r="E12" s="13">
        <v>1</v>
      </c>
      <c r="F12" s="13">
        <v>1.69</v>
      </c>
      <c r="G12" s="13" cm="1">
        <f t="array" ref="G12">E12*F12</f>
        <v>1.69</v>
      </c>
      <c r="H12" t="s" s="14">
        <v>42</v>
      </c>
    </row>
    <row r="13" ht="23.8" customHeight="1">
      <c r="A13" s="10">
        <v>11</v>
      </c>
      <c r="B13" t="s" s="11">
        <v>43</v>
      </c>
      <c r="C13" t="s" s="12">
        <v>40</v>
      </c>
      <c r="D13" t="s" s="12">
        <v>44</v>
      </c>
      <c r="E13" s="13">
        <v>1</v>
      </c>
      <c r="F13" s="13">
        <v>1.79</v>
      </c>
      <c r="G13" s="13" cm="1">
        <f t="array" ref="G13">E13*F13</f>
        <v>1.79</v>
      </c>
      <c r="H13" t="s" s="14">
        <v>45</v>
      </c>
    </row>
    <row r="14" ht="23.8" customHeight="1">
      <c r="A14" s="10">
        <v>12</v>
      </c>
      <c r="B14" t="s" s="11">
        <v>46</v>
      </c>
      <c r="C14" t="s" s="12">
        <v>40</v>
      </c>
      <c r="D14" t="s" s="12">
        <v>47</v>
      </c>
      <c r="E14" s="13">
        <v>1</v>
      </c>
      <c r="F14" s="13">
        <v>1.91</v>
      </c>
      <c r="G14" s="13" cm="1">
        <f t="array" ref="G14">E14*F14</f>
        <v>1.91</v>
      </c>
      <c r="H14" t="s" s="14">
        <v>48</v>
      </c>
    </row>
    <row r="15" ht="23.8" customHeight="1">
      <c r="A15" s="10">
        <v>13</v>
      </c>
      <c r="B15" t="s" s="11">
        <v>49</v>
      </c>
      <c r="C15" t="s" s="12">
        <v>50</v>
      </c>
      <c r="D15" t="s" s="12">
        <v>51</v>
      </c>
      <c r="E15" s="13">
        <v>2</v>
      </c>
      <c r="F15" s="13">
        <v>2.47</v>
      </c>
      <c r="G15" s="13" cm="1">
        <f t="array" ref="G15">E15*F15</f>
        <v>4.94</v>
      </c>
      <c r="H15" t="s" s="14">
        <v>52</v>
      </c>
    </row>
    <row r="16" ht="23.8" customHeight="1">
      <c r="A16" s="10">
        <v>14</v>
      </c>
      <c r="B16" t="s" s="11">
        <v>53</v>
      </c>
      <c r="C16" t="s" s="12">
        <v>40</v>
      </c>
      <c r="D16" t="s" s="12">
        <v>54</v>
      </c>
      <c r="E16" s="13">
        <v>1</v>
      </c>
      <c r="F16" s="13">
        <v>1.77</v>
      </c>
      <c r="G16" s="13" cm="1">
        <f t="array" ref="G16">E16*F16</f>
        <v>1.77</v>
      </c>
      <c r="H16" t="s" s="14">
        <v>55</v>
      </c>
    </row>
    <row r="17" ht="23.8" customHeight="1">
      <c r="A17" s="10">
        <v>15</v>
      </c>
      <c r="B17" t="s" s="11">
        <v>56</v>
      </c>
      <c r="C17" t="s" s="12">
        <v>57</v>
      </c>
      <c r="D17" t="s" s="12">
        <v>58</v>
      </c>
      <c r="E17" s="13">
        <v>1</v>
      </c>
      <c r="F17" s="13">
        <v>20</v>
      </c>
      <c r="G17" s="13" cm="1">
        <f t="array" ref="G17">E17*F17</f>
        <v>20</v>
      </c>
      <c r="H17" t="s" s="14">
        <v>59</v>
      </c>
    </row>
    <row r="18" ht="23.8" customHeight="1">
      <c r="A18" s="10">
        <v>16</v>
      </c>
      <c r="B18" t="s" s="11">
        <v>60</v>
      </c>
      <c r="C18" t="s" s="12">
        <v>61</v>
      </c>
      <c r="D18" t="s" s="12">
        <v>62</v>
      </c>
      <c r="E18" s="13">
        <v>1</v>
      </c>
      <c r="F18" s="13">
        <v>40.77</v>
      </c>
      <c r="G18" s="13" cm="1">
        <f t="array" ref="G18">E18*F18</f>
        <v>40.77</v>
      </c>
      <c r="H18" t="s" s="14">
        <v>63</v>
      </c>
    </row>
    <row r="19" ht="23.8" customHeight="1">
      <c r="A19" s="10">
        <v>17</v>
      </c>
      <c r="B19" t="s" s="11">
        <v>64</v>
      </c>
      <c r="C19" t="s" s="12">
        <v>65</v>
      </c>
      <c r="D19" t="s" s="12">
        <v>66</v>
      </c>
      <c r="E19" s="13">
        <v>1</v>
      </c>
      <c r="F19" s="13">
        <v>15.93</v>
      </c>
      <c r="G19" s="13" cm="1">
        <f t="array" ref="G19">E19*F19</f>
        <v>15.93</v>
      </c>
      <c r="H19" t="s" s="14">
        <v>67</v>
      </c>
    </row>
    <row r="20" ht="23.8" customHeight="1">
      <c r="A20" s="10">
        <v>18</v>
      </c>
      <c r="B20" t="s" s="11">
        <v>68</v>
      </c>
      <c r="C20" t="s" s="12">
        <v>69</v>
      </c>
      <c r="D20" t="s" s="12">
        <v>70</v>
      </c>
      <c r="E20" s="13">
        <v>1</v>
      </c>
      <c r="F20" s="13">
        <v>0</v>
      </c>
      <c r="G20" s="13" cm="1">
        <f t="array" ref="G20">E20*F20</f>
        <v>0</v>
      </c>
      <c r="H20" t="s" s="14">
        <v>71</v>
      </c>
    </row>
    <row r="21" ht="23.8" customHeight="1">
      <c r="A21" s="15">
        <v>19</v>
      </c>
      <c r="B21" t="s" s="16">
        <v>72</v>
      </c>
      <c r="C21" t="s" s="17">
        <v>73</v>
      </c>
      <c r="D21" t="s" s="17">
        <v>74</v>
      </c>
      <c r="E21" s="18">
        <v>1</v>
      </c>
      <c r="F21" s="18">
        <v>5.5</v>
      </c>
      <c r="G21" s="18" cm="1">
        <f t="array" ref="G21">E21*F21</f>
        <v>5.5</v>
      </c>
      <c r="H21" t="s" s="19">
        <v>75</v>
      </c>
    </row>
    <row r="22" ht="23.8" customHeight="1">
      <c r="A22" s="10">
        <v>20</v>
      </c>
      <c r="B22" t="s" s="11">
        <v>76</v>
      </c>
      <c r="C22" t="s" s="12">
        <v>77</v>
      </c>
      <c r="D22" t="s" s="12">
        <v>78</v>
      </c>
      <c r="E22" s="13">
        <v>1</v>
      </c>
      <c r="F22" s="13">
        <v>8</v>
      </c>
      <c r="G22" s="13" cm="1">
        <f t="array" ref="G22">E22*F22</f>
        <v>8</v>
      </c>
      <c r="H22" t="s" s="14">
        <v>79</v>
      </c>
    </row>
    <row r="23" ht="23.8" customHeight="1">
      <c r="A23" s="10">
        <v>21</v>
      </c>
      <c r="B23" t="s" s="11">
        <v>80</v>
      </c>
      <c r="C23" t="s" s="12">
        <v>81</v>
      </c>
      <c r="D23" t="s" s="12">
        <v>82</v>
      </c>
      <c r="E23" s="13">
        <v>2</v>
      </c>
      <c r="F23" s="13">
        <v>12.5</v>
      </c>
      <c r="G23" s="13" cm="1">
        <f t="array" ref="G23">E23*F23</f>
        <v>25</v>
      </c>
      <c r="H23" t="s" s="14">
        <v>71</v>
      </c>
    </row>
    <row r="24" ht="23.8" customHeight="1">
      <c r="A24" s="10">
        <v>22</v>
      </c>
      <c r="B24" t="s" s="11">
        <v>83</v>
      </c>
      <c r="C24" t="s" s="12">
        <v>84</v>
      </c>
      <c r="D24" t="s" s="12">
        <v>85</v>
      </c>
      <c r="E24" s="13">
        <v>1</v>
      </c>
      <c r="F24" s="13">
        <v>3.73</v>
      </c>
      <c r="G24" s="13" cm="1">
        <f t="array" ref="G24">E24*F24</f>
        <v>3.73</v>
      </c>
      <c r="H24" t="s" s="14">
        <v>86</v>
      </c>
    </row>
    <row r="25" ht="23.8" customHeight="1">
      <c r="A25" s="10">
        <v>23</v>
      </c>
      <c r="B25" t="s" s="11">
        <v>87</v>
      </c>
      <c r="C25" t="s" s="12">
        <v>88</v>
      </c>
      <c r="D25" t="s" s="12">
        <v>89</v>
      </c>
      <c r="E25" s="13">
        <v>1</v>
      </c>
      <c r="F25" s="13">
        <v>12</v>
      </c>
      <c r="G25" s="13" cm="1">
        <f t="array" ref="G25">E25*F25</f>
        <v>12</v>
      </c>
      <c r="H25" t="s" s="14">
        <v>90</v>
      </c>
    </row>
    <row r="26" ht="23.8" customHeight="1">
      <c r="A26" s="10">
        <v>24</v>
      </c>
      <c r="B26" t="s" s="11">
        <v>91</v>
      </c>
      <c r="C26" t="s" s="12">
        <v>92</v>
      </c>
      <c r="D26" t="s" s="12">
        <v>93</v>
      </c>
      <c r="E26" s="13">
        <v>1</v>
      </c>
      <c r="F26" s="13">
        <v>6</v>
      </c>
      <c r="G26" s="13" cm="1">
        <f t="array" ref="G26">E26*F26</f>
        <v>6</v>
      </c>
      <c r="H26" t="s" s="14">
        <v>94</v>
      </c>
    </row>
    <row r="27" ht="23.8" customHeight="1">
      <c r="A27" s="10">
        <v>25</v>
      </c>
      <c r="B27" t="s" s="11">
        <v>95</v>
      </c>
      <c r="C27" t="s" s="12">
        <v>96</v>
      </c>
      <c r="D27" t="s" s="12">
        <v>97</v>
      </c>
      <c r="E27" s="13">
        <v>5</v>
      </c>
      <c r="F27" s="13">
        <v>0.36</v>
      </c>
      <c r="G27" s="13" cm="1">
        <f t="array" ref="G27">E27*F27</f>
        <v>1.8</v>
      </c>
      <c r="H27" t="s" s="14">
        <v>98</v>
      </c>
    </row>
    <row r="28" ht="23.8" customHeight="1">
      <c r="A28" s="10">
        <v>26</v>
      </c>
      <c r="B28" t="s" s="11">
        <v>99</v>
      </c>
      <c r="C28" t="s" s="12">
        <v>96</v>
      </c>
      <c r="D28" t="s" s="12">
        <v>100</v>
      </c>
      <c r="E28" s="13">
        <v>2</v>
      </c>
      <c r="F28" s="13">
        <v>0.67</v>
      </c>
      <c r="G28" s="13" cm="1">
        <f t="array" ref="G28">E28*F28</f>
        <v>1.34</v>
      </c>
      <c r="H28" t="s" s="14">
        <v>101</v>
      </c>
    </row>
    <row r="29" ht="23.8" customHeight="1">
      <c r="A29" s="10">
        <v>27</v>
      </c>
      <c r="B29" t="s" s="11">
        <v>102</v>
      </c>
      <c r="C29" t="s" s="12">
        <v>96</v>
      </c>
      <c r="D29" t="s" s="12">
        <v>103</v>
      </c>
      <c r="E29" s="13">
        <v>6</v>
      </c>
      <c r="F29" s="13">
        <v>0.68</v>
      </c>
      <c r="G29" s="13" cm="1">
        <f t="array" ref="G29">E29*F29</f>
        <v>4.08</v>
      </c>
      <c r="H29" t="s" s="14">
        <v>104</v>
      </c>
    </row>
    <row r="30" ht="23.8" customHeight="1">
      <c r="A30" s="10">
        <v>28</v>
      </c>
      <c r="B30" t="s" s="11">
        <v>105</v>
      </c>
      <c r="C30" t="s" s="12">
        <v>96</v>
      </c>
      <c r="D30" s="13">
        <v>500</v>
      </c>
      <c r="E30" s="13">
        <v>1</v>
      </c>
      <c r="F30" s="13">
        <v>0</v>
      </c>
      <c r="G30" s="13" cm="1">
        <f t="array" ref="G30">E30*F30</f>
        <v>0</v>
      </c>
      <c r="H30" t="s" s="14">
        <v>106</v>
      </c>
    </row>
    <row r="31" ht="23.8" customHeight="1">
      <c r="A31" s="10">
        <v>29</v>
      </c>
      <c r="B31" t="s" s="11">
        <v>107</v>
      </c>
      <c r="C31" t="s" s="12">
        <v>96</v>
      </c>
      <c r="D31" t="s" s="12">
        <v>108</v>
      </c>
      <c r="E31" s="13">
        <v>1</v>
      </c>
      <c r="F31" s="13">
        <v>0.12</v>
      </c>
      <c r="G31" s="13" cm="1">
        <f t="array" ref="G31">E31*F31</f>
        <v>0.12</v>
      </c>
      <c r="H31" t="s" s="14">
        <v>109</v>
      </c>
    </row>
    <row r="32" ht="23.8" customHeight="1">
      <c r="A32" s="10">
        <v>30</v>
      </c>
      <c r="B32" t="s" s="11">
        <v>110</v>
      </c>
      <c r="C32" t="s" s="12">
        <v>96</v>
      </c>
      <c r="D32" t="s" s="12">
        <v>111</v>
      </c>
      <c r="E32" s="13">
        <v>2</v>
      </c>
      <c r="F32" s="13">
        <v>0.13</v>
      </c>
      <c r="G32" s="13" cm="1">
        <f t="array" ref="G32">E32*F32</f>
        <v>0.26</v>
      </c>
      <c r="H32" t="s" s="14">
        <v>112</v>
      </c>
    </row>
    <row r="33" ht="23.8" customHeight="1">
      <c r="A33" s="10">
        <v>31</v>
      </c>
      <c r="B33" t="s" s="11">
        <v>113</v>
      </c>
      <c r="C33" t="s" s="12">
        <v>96</v>
      </c>
      <c r="D33" t="s" s="12">
        <v>114</v>
      </c>
      <c r="E33" s="13">
        <v>2</v>
      </c>
      <c r="F33" s="13">
        <v>0.6899999999999999</v>
      </c>
      <c r="G33" s="13" cm="1">
        <f t="array" ref="G33">E33*F33</f>
        <v>1.38</v>
      </c>
      <c r="H33" t="s" s="14">
        <v>115</v>
      </c>
    </row>
    <row r="34" ht="23.8" customHeight="1">
      <c r="A34" s="10">
        <v>32</v>
      </c>
      <c r="B34" t="s" s="11">
        <v>116</v>
      </c>
      <c r="C34" t="s" s="12">
        <v>117</v>
      </c>
      <c r="D34" t="s" s="12">
        <v>118</v>
      </c>
      <c r="E34" s="13">
        <v>2</v>
      </c>
      <c r="F34" s="13">
        <v>27</v>
      </c>
      <c r="G34" s="13" cm="1">
        <f t="array" ref="G34">E34*F34</f>
        <v>54</v>
      </c>
      <c r="H34" t="s" s="14">
        <v>119</v>
      </c>
    </row>
    <row r="35" ht="23.8" customHeight="1">
      <c r="A35" s="10">
        <v>33</v>
      </c>
      <c r="B35" t="s" s="11">
        <v>120</v>
      </c>
      <c r="C35" t="s" s="12">
        <v>121</v>
      </c>
      <c r="D35" t="s" s="12">
        <v>122</v>
      </c>
      <c r="E35" s="13">
        <v>1</v>
      </c>
      <c r="F35" s="13">
        <v>2.71</v>
      </c>
      <c r="G35" s="13" cm="1">
        <f t="array" ref="G35">E35*F35</f>
        <v>2.71</v>
      </c>
      <c r="H35" t="s" s="14">
        <v>123</v>
      </c>
    </row>
    <row r="36" ht="23.8" customHeight="1">
      <c r="A36" s="15">
        <v>35</v>
      </c>
      <c r="B36" t="s" s="16">
        <v>124</v>
      </c>
      <c r="C36" t="s" s="17">
        <v>125</v>
      </c>
      <c r="D36" t="s" s="17">
        <v>126</v>
      </c>
      <c r="E36" s="18">
        <v>1</v>
      </c>
      <c r="F36" s="18">
        <v>364.679</v>
      </c>
      <c r="G36" s="18" cm="1">
        <f t="array" ref="G36">E36*F36</f>
        <v>364.679</v>
      </c>
      <c r="H36" t="s" s="19">
        <v>127</v>
      </c>
    </row>
    <row r="37" ht="23.8" customHeight="1">
      <c r="A37" s="10">
        <v>36</v>
      </c>
      <c r="B37" t="s" s="11">
        <v>128</v>
      </c>
      <c r="C37" t="s" s="12">
        <v>129</v>
      </c>
      <c r="D37" t="s" s="12">
        <v>130</v>
      </c>
      <c r="E37" s="13">
        <v>1</v>
      </c>
      <c r="F37" s="13">
        <v>15.05</v>
      </c>
      <c r="G37" s="13" cm="1">
        <f t="array" ref="G37">E37*F37</f>
        <v>15.05</v>
      </c>
      <c r="H37" t="s" s="14">
        <v>131</v>
      </c>
    </row>
    <row r="38" ht="23.8" customHeight="1">
      <c r="A38" s="10">
        <v>37</v>
      </c>
      <c r="B38" t="s" s="11">
        <v>132</v>
      </c>
      <c r="C38" t="s" s="12">
        <v>133</v>
      </c>
      <c r="D38" t="s" s="12">
        <v>134</v>
      </c>
      <c r="E38" s="13">
        <v>1</v>
      </c>
      <c r="F38" s="13">
        <v>11</v>
      </c>
      <c r="G38" s="13" cm="1">
        <f t="array" ref="G38">E38*F38</f>
        <v>11</v>
      </c>
      <c r="H38" t="s" s="14">
        <v>135</v>
      </c>
    </row>
    <row r="39" ht="23.8" customHeight="1">
      <c r="A39" s="10">
        <v>38</v>
      </c>
      <c r="B39" t="s" s="11">
        <v>136</v>
      </c>
      <c r="C39" t="s" s="12">
        <v>125</v>
      </c>
      <c r="D39" t="s" s="12">
        <v>137</v>
      </c>
      <c r="E39" s="13">
        <v>1</v>
      </c>
      <c r="F39" s="13">
        <v>326</v>
      </c>
      <c r="G39" s="13" cm="1">
        <f t="array" ref="G39">E39*F39</f>
        <v>326</v>
      </c>
      <c r="H39" t="s" s="14">
        <v>138</v>
      </c>
    </row>
    <row r="40" ht="23.8" customHeight="1">
      <c r="A40" s="10">
        <v>39</v>
      </c>
      <c r="B40" t="s" s="11">
        <v>139</v>
      </c>
      <c r="C40" t="s" s="12">
        <v>140</v>
      </c>
      <c r="D40" t="s" s="12">
        <v>141</v>
      </c>
      <c r="E40" s="13">
        <v>1</v>
      </c>
      <c r="F40" s="13">
        <v>54</v>
      </c>
      <c r="G40" s="13" cm="1">
        <f t="array" ref="G40">E40*F40</f>
        <v>54</v>
      </c>
      <c r="H40" t="s" s="14">
        <v>142</v>
      </c>
    </row>
    <row r="41" ht="23.8" customHeight="1">
      <c r="A41" s="20">
        <v>40</v>
      </c>
      <c r="B41" t="s" s="21">
        <v>143</v>
      </c>
      <c r="C41" t="s" s="22">
        <v>144</v>
      </c>
      <c r="D41" t="s" s="22">
        <v>145</v>
      </c>
      <c r="E41" s="23">
        <v>1</v>
      </c>
      <c r="F41" s="23">
        <v>37.52</v>
      </c>
      <c r="G41" s="23" cm="1">
        <f t="array" ref="G41">E41*F41</f>
        <v>37.52</v>
      </c>
      <c r="H41" t="s" s="24">
        <v>146</v>
      </c>
    </row>
    <row r="42" ht="23.8" customHeight="1">
      <c r="A42" s="10">
        <v>41</v>
      </c>
      <c r="B42" t="s" s="11">
        <v>147</v>
      </c>
      <c r="C42" t="s" s="12">
        <v>148</v>
      </c>
      <c r="D42" t="s" s="12">
        <v>145</v>
      </c>
      <c r="E42" s="13">
        <v>1</v>
      </c>
      <c r="F42" s="13">
        <v>8</v>
      </c>
      <c r="G42" s="13" cm="1">
        <f t="array" ref="G42">E42*F42</f>
        <v>8</v>
      </c>
      <c r="H42" t="s" s="14">
        <v>149</v>
      </c>
    </row>
    <row r="43" ht="23.8" customHeight="1">
      <c r="A43" s="25"/>
      <c r="B43" s="26"/>
      <c r="C43" s="27"/>
      <c r="D43" s="27"/>
      <c r="E43" s="27"/>
      <c r="F43" s="27"/>
      <c r="G43" s="18" cm="1">
        <f t="array" ref="G43">SUM(G3:G42)</f>
        <v>1093.269</v>
      </c>
      <c r="H43" s="28"/>
    </row>
  </sheetData>
  <mergeCells count="1">
    <mergeCell ref="A1:H1"/>
  </mergeCells>
  <hyperlinks>
    <hyperlink ref="H3" r:id="rId1" location="" tooltip="" display="https://robu.in/product/gcm155r71h104ke02j-murata-electronics-50v-100nf-x7r-%C2%B110-0402-multilayer-ceramic-capacitors-mlcc-smd-smt-rohs/?gad_source=1&amp;gad_campaignid=17427802703&amp;gbraid=0AAAAADvLFWfsDE1Tsv3lc8Ygj76usrxpb&amp;gclid=Cj0KCQjw7eXTBhDBARIsAKF-w4605fArVuCMtcXnAE0XygpFFm7nM9QEV3kyJcbQJLQnuKb2NC0mmdYaAia8EALw_wcB"/>
    <hyperlink ref="H4" r:id="rId2" location="" tooltip="" display="https://robu.in/product/grm1555c1h220ga01d-murata-cap-ceramic-22pf-50v-c0g-2-pad-smd-0402-125c-t-r/?gad_source=1&amp;gad_campaignid=17427802703&amp;gbraid=0AAAAADvLFWfsDE1Tsv3lc8Ygj76usrxpb&amp;gclid=Cj0KCQjw7eXTBhDBARIsAKF-w46rgG5TKtn1cQ0I3Byk5rHJGgeVZPHx_C_o5ullEAvIPwXRRlB7_eAaAt4wEALw_wcB"/>
    <hyperlink ref="H5" r:id="rId3" location="" tooltip="" display="https://robu.in/product/grm155b31c105ka12d-murata-cap-ceramic-1uf-16v-b-10-pad-smd-0402-85c-t-r/?gad_source=1&amp;gad_campaignid=17427802703&amp;gbraid=0AAAAADvLFWfsDE1Tsv3lc8Ygj76usrxpb&amp;gclid=Cj0KCQjw7eXTBhDBARIsAKF-w47G0TInJFTm5xKhkqMSshKzZ_HYmzgeZBjrBTRX4r9E3ESI-Is7ENAaAv_xEALw_wcB"/>
    <hyperlink ref="H6" r:id="rId4" location="" tooltip="" display="https://robu.in/product/grm188r61e106ma73d-murata-cap-ceramic-10uf-25v-x5r-20-pad-smd-0603-85c-automotive-t-r/?gad_source=1&amp;gad_campaignid=17427802703&amp;gbraid=0AAAAADvLFWfsDE1Tsv3lc8Ygj76usrxpb&amp;gclid=Cj0KCQjw7eXTBhDBARIsAKF-w47sVJMxJOjjrCnJ1EM-wUwlmQ3kUUfJrEdGOVdrHQ6oNnQ_GNFN0koaAn2wEALw_wcB"/>
    <hyperlink ref="H7" r:id="rId5" location="" tooltip="" display="https://robu.in/product/grm31cr61e476me44l-murata-25v-47uf-x5r-%25c2%25b120-1206-multilayer-ceramic-capacitors-mlcc-smd-smt-rohs/"/>
    <hyperlink ref="H8" r:id="rId6" location="" tooltip="" display="https://robu.in/product/gcm155r71h104ke02j-murata-electronics-50v-100nf-x7r-%C2%B110-0402-multilayer-ceramic-capacitors-mlcc-smd-smt-rohs/?gad_source=1&amp;gad_campaignid=17427802703&amp;gbraid=0AAAAADvLFWfsDE1Tsv3lc8Ygj76usrxpb&amp;gclid=Cj0KCQjw7eXTBhDBARIsAKF-w4605fArVuCMtcXnAE0XygpFFm7nM9QEV3kyJcbQJLQnuKb2NC0mmdYaAia8EALw_wcB"/>
    <hyperlink ref="H9" r:id="rId7" location="" tooltip="" display="https://robu.in/product/grm188r71e105ka12d-murata-cap-ceramic-1uf-25v-x7r-10-pad-smd-0603-125c-t-r/?gad_source=1&amp;gad_campaignid=17427802703&amp;gbraid=0AAAAADvLFWfsDE1Tsv3lc8Ygj76usrxpb&amp;gclid=Cj0KCQjw7eXTBhDBARIsAKF-w44VgB7eXKJJyqN8LtVbOU-eLG4cvYyyerMGC_ycOBT9iVxs8bIwAH4aAqXLEALw_wcB"/>
    <hyperlink ref="H10" r:id="rId8" location="" tooltip="" display="https://robu.in/product/ss14-slkor-40v-550mv1a-1a-smado-214ac-schottky-diodes-rohs/?gad_source=1&amp;gad_campaignid=17427802703&amp;gbraid=0AAAAADvLFWfsDE1Tsv3lc8Ygj76usrxpb&amp;gclid=Cj0KCQjw7eXTBhDBARIsAKF-w44Qept94bb_B-JIeZgtih8miHVa2msSlkudqmIJY8RgQ00TBUXWZXAaAhg3EALw_wcB"/>
    <hyperlink ref="H11" r:id="rId9" location="" tooltip="" display="https://robu.in/product/sdm2u30csp-7b-diodes-incorporated-30v-480mv2a-2a-0603-schottky-diodes-rohs/"/>
    <hyperlink ref="H12" r:id="rId10" location="" tooltip="" display="https://robu.in/product/0402-surface-mount-led-white/"/>
    <hyperlink ref="H13" r:id="rId11" location="" tooltip="" display="https://robu.in/product/0402-surface-mount-led-orange/"/>
    <hyperlink ref="H14" r:id="rId12" location="" tooltip="" display="https://robu.in/product/0402-surface-mount-led-green-50-pcs/"/>
    <hyperlink ref="H15" r:id="rId13" location="" tooltip="" display="https://robu.in/product/ss34-slkor-40v-500mv3a-3a-smado-214ac-schottky-diodes-rohs/?gad_source=1&amp;gad_campaignid=17427802703&amp;gbraid=0AAAAADvLFWfsDE1Tsv3lc8Ygj76usrxpb&amp;gclid=Cj0KCQjw7eXTBhDBARIsAKF-w47VUpsF9Kb7rnHYCXDdJmqFD_GbUUZMs48jNbHWVwUkyenBPV_mPw4aAoQsEALw_wcB"/>
    <hyperlink ref="H16" r:id="rId14" location="" tooltip="" display="https://robu.in/product/0402-surface-mount-led-yellow/"/>
    <hyperlink ref="H17" r:id="rId15" location="" tooltip="" display="https://robu.in/product/smbj18a-13-f-diodes-incorporated-20-5a-600w-29-2v-23-3v-unidirectional-18v-smbdo-214aa-esd-and-surge-protection-tvs-esd-rohs/"/>
    <hyperlink ref="H18" r:id="rId16" location="" tooltip="" display="https://www.lioncircuits.com/parts/MF-MSMF050-2?srsltid=AfmBOoph58xPHN0zb-51FVVbLiIBV_jOSqj1V0B7Sm0LGywLCT_73zkz"/>
    <hyperlink ref="H19" r:id="rId17" location="" tooltip="" display="https://www.lioncircuits.com/parts/BLM21PG121SN1D?srsltid=AfmBOopoFYIsMl9Ce8KcUjY8v_4AqsZ06oW4iUqZYiObIbPO_IR_Bx-d"/>
    <hyperlink ref="H20" r:id="rId18" location="" tooltip="" display="https://robu.in/product/2mm-pitch-male-berg-strip-40x1-2pcs/"/>
    <hyperlink ref="H21" r:id="rId19" location="" tooltip="" display="https://www.ktron.in/product/16-pin-usb-type-c-connector-smd/?srsltid=AfmBOopC8atir4QWWGWLIhL0K_3z9sSfw6OYKM-ySLUY6Trg5djyC5DB"/>
    <hyperlink ref="H22" r:id="rId20" location="" tooltip="" display="https://robu.in/product/2-pin-jst-xh-2-54mm-pitch-plug-and-socket-with-cable-10-pcs/"/>
    <hyperlink ref="H23" r:id="rId21" location="" tooltip="" display="https://robu.in/product/2mm-pitch-male-berg-strip-40x1-2pcs/"/>
    <hyperlink ref="H24" r:id="rId22" location="" tooltip="" display="https://robu.in/product/mlz1608m100wt000-tdk-10-%C2%B5h-shielded-multilayer-inductor-250-ma-1-05ohm-0603-1608-metric/"/>
    <hyperlink ref="H25" r:id="rId23" location="" tooltip="" display="https://robu.in/product/ihlp2020bzer4r7m11-vishay-power-inductor-smd-4-7-%25c2%25b5h-3-2-a-shielded-3-a/"/>
    <hyperlink ref="H26" r:id="rId24" location="" tooltip="" display="https://robu.in/product/fdn340p-slkor-20v-3a-1w-70m%CF%894-5v2a-1v-1-piece-p-channel-sot-23-mosfets-rohs/"/>
    <hyperlink ref="H27" r:id="rId25" location="" tooltip="" display="https://robu.in/product/rc0402fr-1010kl-yageo-0-063w-thick-film-resistors-%25c2%25b1100ppm-%25e2%2584%2583-%25c2%25b11-10k%25cf%2589-0402-chip-resistor-surface-mount-rohs/"/>
    <hyperlink ref="H28" r:id="rId26" location="" tooltip="" display="https://robu.in/product/rc0402fr-071ml-yageo-res-thick-film-0402-1m-ohm-1-0-063w1-16w-%C2%B1100ppm-c-pad-smd-t-r/"/>
    <hyperlink ref="H29" r:id="rId27" location="" tooltip="" display="https://robu.in/product/ac0402jr-071kl-yageo-res-thick-film-0402-1k-ohm-5-0-063w1-16w-%C2%B1100ppm-c-pad-smd-t-r-automotive-aec-q200/"/>
    <hyperlink ref="H31" r:id="rId28" location="" tooltip="" display="https://robu.in/product/ac0402fr-0756k2l-yageo-res-thick-film-0402-56-2k-ohm-1-0-063w1-16w-%C2%B1100ppm-c-pad-smd-t-r-automotive-aec-q200/"/>
    <hyperlink ref="H32" r:id="rId29" location="" tooltip="" display="https://robu.in/product/rc0402fr-075k1l-yageo-smd-chip-resistor/"/>
    <hyperlink ref="H33" r:id="rId30" location="" tooltip="" display="https://robu.in/product/rc0402fr-0722rl-yageo-smd-chip-resistor-22-ohm-%25c2%25b1-1-100-mw-0402-1005-metric-thick-film-precision-pack-of-10/"/>
    <hyperlink ref="H34" r:id="rId31" location="" tooltip="" display="https://robu.in/product/cg0603mlc-05e-bourns-tvs-varistor-8-v-5-v-chipguard-mlc-20-v-0603-1608-metric-multilayer-varistor-mlv/"/>
    <hyperlink ref="H35" r:id="rId32" location="" tooltip="" display="https://robu.in/product/lck-ta007h27-2wl-lckelec-362-7-patch-260g-tact-switch/"/>
    <hyperlink ref="H36" r:id="rId33" location="" tooltip="" display="https://in.element14.com/microchip/atmega16u2-au/mcu-8bit-16mhz-tqfp-32/dp/1841607"/>
    <hyperlink ref="H37" r:id="rId34" location="" tooltip="" display="https://www.ktron.in/product/tlv70233dbvr-regulator-ic/"/>
    <hyperlink ref="H38" r:id="rId35" location="" tooltip="" display="https://robu.in/product/lmv358-slkor-dual-0-3v-us-1mhz-9mv-sop-8-operational-amplifier-rohs/"/>
    <hyperlink ref="H39" r:id="rId36" location="" tooltip="" display="https://robu.in/product/atmega328p-au-microchip-8-bit-mcu-avr-atmega/?gad_source=1&amp;gad_campaignid=17427802703&amp;gbraid=0AAAAADvLFWfsDE1Tsv3lc8Ygj76usrxpb&amp;gclid=Cj0KCQjw7eXTBhDBARIsAKF-w44zB8acGTusGdun0eCm2pZp1eYnfPXPR3WQ8FRCxJ2kPVR1BBFBNMkaAkWWEALw_wcB"/>
    <hyperlink ref="H40" r:id="rId37" location="" tooltip="" display="https://robu.in/product/tps561208ddcr-texas-instruments-step-down-type-adjustable-760mv7v-1a-4-5v17v-tsot-23-6-dc-dc-converters-rohs/"/>
    <hyperlink ref="H41" r:id="rId38" location="" tooltip="" display="https://www.lioncircuits.com/parts/CSTNE16M0VH3C000R0?srsltid=AfmBOoopgO_sQ1oYprtD2xnAziDcd6In1HVtF2kqItGk96R_QHRoMT9Jews"/>
    <hyperlink ref="H42" r:id="rId39" location="" tooltip="" display="https://robu.in/product/hc49-s-16mhz-crystal-oscillator-pack-of-5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